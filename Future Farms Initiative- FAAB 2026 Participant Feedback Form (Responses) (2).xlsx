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Form Responses 2" sheetId="2" r:id="rId5"/>
    <sheet state="visible" name="Attendance" sheetId="3" r:id="rId6"/>
  </sheets>
  <definedNames/>
  <calcPr/>
  <extLst>
    <ext uri="GoogleSheetsCustomDataVersion2">
      <go:sheetsCustomData xmlns:go="http://customooxmlschemas.google.com/" r:id="rId7" roundtripDataChecksum="y5o6yrXvdJr/TaYA9o6u+FF1jvOnKlY/9BjUz3dlHA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3">
      <text>
        <t xml:space="preserve">======
ID#AAACIBe9EsA
    (2026-10-05 12:44:56)
Out of 29 farmers (21 females and 8 males), female farmers recorded higher average attendance (2.52 vs 2.25).</t>
      </text>
    </comment>
  </commentList>
  <extLst>
    <ext uri="GoogleSheetsCustomDataVersion2">
      <go:sheetsCustomData xmlns:go="http://customooxmlschemas.google.com/" r:id="rId1" roundtripDataSignature="AMtx7mgBeYRxEX5n7AfDuxkn0Z86v/adBQ=="/>
    </ext>
  </extLst>
</comments>
</file>

<file path=xl/sharedStrings.xml><?xml version="1.0" encoding="utf-8"?>
<sst xmlns="http://schemas.openxmlformats.org/spreadsheetml/2006/main" count="413" uniqueCount="248">
  <si>
    <t>Attendance per person(females)</t>
  </si>
  <si>
    <t>Attendance per person(males)</t>
  </si>
  <si>
    <t>Gender</t>
  </si>
  <si>
    <t>Count</t>
  </si>
  <si>
    <t>Total Attendance</t>
  </si>
  <si>
    <t>Average</t>
  </si>
  <si>
    <t>Name ID</t>
  </si>
  <si>
    <t>Attandance(count)</t>
  </si>
  <si>
    <t>Timestamp</t>
  </si>
  <si>
    <t>Attendance(count)</t>
  </si>
  <si>
    <t>Female</t>
  </si>
  <si>
    <t>NAME ID</t>
  </si>
  <si>
    <t xml:space="preserve">2. How would you rate your overall learning experience during Modules 1–2?  </t>
  </si>
  <si>
    <t>Briefly explain the answer above</t>
  </si>
  <si>
    <t>Male</t>
  </si>
  <si>
    <t xml:space="preserve">3.  How relevant were the topics covered to your farming/business activities? </t>
  </si>
  <si>
    <t>Briefly explain the answer above 2</t>
  </si>
  <si>
    <t>F</t>
  </si>
  <si>
    <t xml:space="preserve">4.  How well did the facilitators connect the concepts to real farm situations? </t>
  </si>
  <si>
    <t>Briefly explain the answer above 3</t>
  </si>
  <si>
    <t>5. How practical were the sessions in helping you identify actions you can implement on your farm?</t>
  </si>
  <si>
    <t>Briefly explain the answer above 4</t>
  </si>
  <si>
    <t xml:space="preserve">6. What is the ONE change you are most likely to implement on your farm within the next 3–6 months as a result of these sessions? </t>
  </si>
  <si>
    <t>M</t>
  </si>
  <si>
    <t xml:space="preserve"> 7. What was the most important thing you learned during Modules 1–2?  </t>
  </si>
  <si>
    <t xml:space="preserve">8. Which ONE of Pillars 1–4 do you consider the highest priority for your farm right now? </t>
  </si>
  <si>
    <t xml:space="preserve">  9. What is the biggest barrier preventing you from adopting future farms practices?  </t>
  </si>
  <si>
    <t xml:space="preserve">  What type of support would you need from Future Farms to implement the practices?  (Select all that apply)</t>
  </si>
  <si>
    <t xml:space="preserve">  10. What could  be your biggest motivation for adopting Future Farms practices?  (Select 3 that apply)</t>
  </si>
  <si>
    <t xml:space="preserve">11.  How effective were the group activities and discussions? </t>
  </si>
  <si>
    <t>Briefly explain the answer above 5</t>
  </si>
  <si>
    <t xml:space="preserve">12.  How useful were the resources provided by Future Farms? </t>
  </si>
  <si>
    <t>Briefly explain the answer above 6</t>
  </si>
  <si>
    <t xml:space="preserve">13.  What should we improve in coming sessions? </t>
  </si>
  <si>
    <t>14.  What would you like Future Farms to provide more of? (Select 3 that apply)</t>
  </si>
  <si>
    <t>15.  Any Additional comments, ideas or concerns?</t>
  </si>
  <si>
    <t>5 - Excellent</t>
  </si>
  <si>
    <t xml:space="preserve">I have learned a lot so far and has changed my thinking and have so far expanded my understanding on major farming activities and food safety and management </t>
  </si>
  <si>
    <t>Very relevant</t>
  </si>
  <si>
    <t xml:space="preserve">I have learned so far from other farmers experience and all the mentors and facilitators in the programme </t>
  </si>
  <si>
    <t>5 - Very Good</t>
  </si>
  <si>
    <t>I now have a better understanding on the way I view farming now</t>
  </si>
  <si>
    <t>Extremely practical</t>
  </si>
  <si>
    <t xml:space="preserve">I can relate and implement </t>
  </si>
  <si>
    <t>Food safety... correctly safely produce my farm products coz everyone deserves safe food</t>
  </si>
  <si>
    <t xml:space="preserve">Food safety management </t>
  </si>
  <si>
    <t>Pillar 3 — Food Safety &amp; Compliance</t>
  </si>
  <si>
    <t>Cost</t>
  </si>
  <si>
    <t>Training, Technical advisory, Financing/investment linkages, Market linkages, Mentorship, Peer learning</t>
  </si>
  <si>
    <t>Improve farm efficiency, Reduce climate and environmental risks, Improve product quality and food safety, Adopt new technologies and innovation, Improve farm management and decision-making, Prepare my farm for future growth</t>
  </si>
  <si>
    <t>I learned on personal experiences</t>
  </si>
  <si>
    <t>5 — Extremely useful</t>
  </si>
  <si>
    <t xml:space="preserve">They have gone out of their way to ensure we learn and unlearn what we know and add knowledge and I am grateful </t>
  </si>
  <si>
    <t>Zoom connectivity sometimes I have problems in logging in</t>
  </si>
  <si>
    <t>Practical demonstrations, Case studies, Farm examples, Technology demonstrations, Farmer-to-farmer learning, Business tools/templates, Technical resources, One-on-one support</t>
  </si>
  <si>
    <t xml:space="preserve">Thanks for the opportunity and on my side I'll try to engage more with you and improve where I can </t>
  </si>
  <si>
    <t>3 - Fair</t>
  </si>
  <si>
    <t xml:space="preserve">I found some important information during the training,such as indigenous knowledge plus modern information </t>
  </si>
  <si>
    <t xml:space="preserve">They address issues I am facing </t>
  </si>
  <si>
    <t>Not all my expectations were met .</t>
  </si>
  <si>
    <t>Moderately practical</t>
  </si>
  <si>
    <t xml:space="preserve">I did not get much motivation </t>
  </si>
  <si>
    <t xml:space="preserve">Irrigation and a compelling business plan </t>
  </si>
  <si>
    <t xml:space="preserve">That farming has to be a business </t>
  </si>
  <si>
    <t>Lack of technical support</t>
  </si>
  <si>
    <t>Technical advisory, Farm assessment, Technology access, Financing/investment linkages, Supplier/solution-provider connections, Mentorship</t>
  </si>
  <si>
    <t>Increase farm productivity, Increase farm profitability, Reduce climate and environmental risks, Access finance and investment, Improve farm management and decision-making, Meet customer or market requirements, Prepare my farm for future growth, Learn and improve my farming practices</t>
  </si>
  <si>
    <t>4 — Very useful</t>
  </si>
  <si>
    <t xml:space="preserve">Field visits  sessions will be a game changer once incorporateted in the training </t>
  </si>
  <si>
    <t>Farm examples, Technology demonstrations, Farmer-to-farmer learning, Business tools/templates</t>
  </si>
  <si>
    <t>None .</t>
  </si>
  <si>
    <t>The learning experience was excellent because the sessions were informative, practical, and easy to understand. I gained useful knowledge that I can apply to my farming activities</t>
  </si>
  <si>
    <t>Extremely relevant</t>
  </si>
  <si>
    <t>The topics were highly relevant because they provided practical knowledge and ideas that can help me improve farm productivity, management, and profitability.</t>
  </si>
  <si>
    <t xml:space="preserve">
The facilitators explained the concepts clearly and used practical examples that made it easier to understand how the knowledge can be applied on a farm.</t>
  </si>
  <si>
    <t>The sessions provided practical ideas and clear actions that I can apply to improve my farming practices and decision-making</t>
  </si>
  <si>
    <t>I plan to improve my farm record-keeping and use simple digital tools to monitor production, costs, and farm performance.</t>
  </si>
  <si>
    <t>The most important thing I learned is how smart farming practices, proper farm management, technology, and good decision-making can improve productivity and profitability.</t>
  </si>
  <si>
    <t>Pillar 1 — Smart Farming &amp; Digital Transformation</t>
  </si>
  <si>
    <t>Training, Technical advisory, Technology access, Mentorship, Peer learning</t>
  </si>
  <si>
    <t>Increase farm productivity, Increase farm profitability, Adopt new technologies and innovation</t>
  </si>
  <si>
    <t>The group activities and discussions were very effective because they encouraged participation, sharing of ideas, and learning from other participants.</t>
  </si>
  <si>
    <t xml:space="preserve"> The resources were extremely useful because they provided practical and relevant information that helped me understand farming practices better and gave me ideas I can apply in my agricultural activities.</t>
  </si>
  <si>
    <t>More practical demonstrations, interactive discussions, and enough time for questions and answers would make the sessions even more useful.</t>
  </si>
  <si>
    <t>Practical demonstrations, Farm examples, Expert sessions</t>
  </si>
  <si>
    <t>I appreciate the sessions and the knowledge shared. I would encourage Future Farms to continue providing practical and relevant training that can help young people improve their farming skills and develop successful agricultural businesses.</t>
  </si>
  <si>
    <t>4 - Good</t>
  </si>
  <si>
    <t xml:space="preserve">All the content that is being delivered is very relevant to my professional advancement </t>
  </si>
  <si>
    <t xml:space="preserve">Has helped me findout different avenues of which resources have been under utilised at my farm </t>
  </si>
  <si>
    <t>They displayed their expertise during study sessions that made me understand the contents they taught</t>
  </si>
  <si>
    <t xml:space="preserve">I can identify the technology but I can't apply it apply it myself due to lack of practical experience </t>
  </si>
  <si>
    <t xml:space="preserve">Adoption of renewable energy </t>
  </si>
  <si>
    <t xml:space="preserve">Maximum use of all the farm products </t>
  </si>
  <si>
    <t>Pillar 2 — Productive Use of Renewable Energy</t>
  </si>
  <si>
    <t>Lack of access to appropriate technologies</t>
  </si>
  <si>
    <t>Training, Technical advisory, Farm assessment, Technology access, Financing/investment linkages, Market linkages</t>
  </si>
  <si>
    <t>Increase farm productivity, Reduce production and operating costs, Improve product quality and food safety</t>
  </si>
  <si>
    <t>Allowed us to actively participate and feel heard by all</t>
  </si>
  <si>
    <t xml:space="preserve">They have enabled me identify my farm's strengths and weaknesses and hence my ability to capitalise on my strengths and rectify my weaknesses. </t>
  </si>
  <si>
    <t xml:space="preserve">Inclusion of on farm demonstrations where applicable </t>
  </si>
  <si>
    <t xml:space="preserve">Future farms initiative is one of the best platforms that has helped farmers improve their farm's productivity </t>
  </si>
  <si>
    <t xml:space="preserve">The facilitators tried to explain with examples. They have experience on the field. </t>
  </si>
  <si>
    <t>My project name is SMART FARMING</t>
  </si>
  <si>
    <t>They have experience on the field ans tried to connect the concepts to the real farm situations by giving us some examples.</t>
  </si>
  <si>
    <t>Very practical</t>
  </si>
  <si>
    <t>For me, the sessions helped me think of integrating smart farming strategies in my project such the use of smart phone to identify plant diseases.</t>
  </si>
  <si>
    <t>The use of apps in my project to identify plant diseases.</t>
  </si>
  <si>
    <t>The most important think I have leant is that I have to think of farming activities according to the modern technologies.</t>
  </si>
  <si>
    <t>Training, Technical advisory, Technology access, Financing/investment linkages, Supplier/solution-provider connections, Mentorship</t>
  </si>
  <si>
    <t>Reduce production and operating costs, Increase farm profitability, Reduce climate and environmental risks</t>
  </si>
  <si>
    <t>They help us to connect and share experience in the sector of farming.</t>
  </si>
  <si>
    <t>They will help us remember what we have learnt.</t>
  </si>
  <si>
    <t>I don't see something to improve.  You should continue in the same way. I appreciate it.</t>
  </si>
  <si>
    <t>Practical demonstrations, Farm examples, Technology demonstrations</t>
  </si>
  <si>
    <t>There is nothing to add.</t>
  </si>
  <si>
    <t>I rated my experience as good because the modules have been informative and valuable. However, I missed a few sessions, which affected my ability to fully engage with all the content. Despite this, I have gained useful insights from the sessions I attended and am committed to improving my participation and staying up to date with future modules.</t>
  </si>
  <si>
    <t>Moderately relevant</t>
  </si>
  <si>
    <t>I rated the topics as moderately relevant because my main focus is aquaculture. However, I am also interested in farming, and the sessions provided useful insights that broadened my understanding of the agricultural sector.</t>
  </si>
  <si>
    <t>The facilitators used practical examples and real-life farm experiences to explain key concepts, making the sessions easier to understand and relate to. More interactive case studies could further strengthen the learning experience.</t>
  </si>
  <si>
    <t>The sessions provided useful ideas and strategies that can be applied on the farm. While some topics were not directly related to aquaculture, they offered valuable insights that can support farm management and business growth.</t>
  </si>
  <si>
    <t>Improve record-keeping and farm planning to support better decision-making, track performance and enhance the overall management of my aquaculture enterprise.</t>
  </si>
  <si>
    <t>I would say smart Farming &amp; Digital Transformation, as adopting smart farming practices and technology can improve efficiency, productivity, and decision-making on the farm. I’m also interested in Productive Use of Renewable Energy, particularly for promoting sustainable and cost-effective farming.</t>
  </si>
  <si>
    <t>Financing/investment linkages</t>
  </si>
  <si>
    <t>Increase farm productivity, Reduce climate and environmental risks, Prepare my farm for future growth</t>
  </si>
  <si>
    <t>The group activities and discussions were engaging and provided an opportunity to share ideas, learn from others and gain different perspectives on farming practices.</t>
  </si>
  <si>
    <t>The resources were relevant, practical and helpful in improving my understanding of farming practices and identifying areas for improvement.</t>
  </si>
  <si>
    <t>No additional suggestions. The sessions were informative and well organized.</t>
  </si>
  <si>
    <t>Practical demonstrations, Business tools/templates, Technical resources</t>
  </si>
  <si>
    <t>No additional comments or concerns. Thank you for the informative and engaging sessions.</t>
  </si>
  <si>
    <t xml:space="preserve">It was good. Except the fact that the sessions was starting very soon but it was incredible </t>
  </si>
  <si>
    <t xml:space="preserve">It looks like every facilitator have experience </t>
  </si>
  <si>
    <t>Very practical. I was looking about how I can combine technology with production in farming. And I'm glad because I've found some of the answers to my questions</t>
  </si>
  <si>
    <t xml:space="preserve">I've known how important it is to use technology in farming </t>
  </si>
  <si>
    <t xml:space="preserve">Importance of technology in farm productivity </t>
  </si>
  <si>
    <t>Poor internet connectivity</t>
  </si>
  <si>
    <t>Training, Technical advisory, Mentorship</t>
  </si>
  <si>
    <t>Increase farm productivity, Increase farm profitability, Improve farm efficiency, Improve product quality and food safety</t>
  </si>
  <si>
    <t xml:space="preserve">Start the session even at 6 or 7 PM if it's possible </t>
  </si>
  <si>
    <t>Practical demonstrations, Case studies, Technology demonstrations, Farmer-to-farmer learning</t>
  </si>
  <si>
    <t>No. It's good</t>
  </si>
  <si>
    <t xml:space="preserve">Those modules covered gave me the way especially on how to use renewable energy from the experienced people, how to control pests, use indeginous knowledge in cultivating is invitable. I made a call to the person who use charcoal podwer, ash and human urine to make manure. </t>
  </si>
  <si>
    <t>The modules equip me more in the farming since no matter what changes and improvement of food security is the world song. Thanks to those modules which open the eyes more widely to carry enough solution to the food challenge</t>
  </si>
  <si>
    <t>What I like is to meet the facilitators who explain on how they are doing. Their actions are full evidence of what is supposing to be done</t>
  </si>
  <si>
    <t>It is so amazing project that firstly participants have time to share experience of their projects. The way farmers are interacting and advancing each other, make me so excited to practize new knowledge to my farm.</t>
  </si>
  <si>
    <t>I wish to start using renewable enery which I think is cheap.</t>
  </si>
  <si>
    <t>How to control pests for food security. I felt fear to use industrial medicine while not sure how much can affect human health.</t>
  </si>
  <si>
    <t>Pillar 4 — Indigenous Knowledge &amp; Climate Resilience</t>
  </si>
  <si>
    <t>Technical advisory, Technology access, Financing/investment linkages, Market linkages, Mentorship</t>
  </si>
  <si>
    <t>Increase farm productivity, Reduce climate and environmental risks, Meet customer or market requirements</t>
  </si>
  <si>
    <t>The group is so active, what is so important that the participant from Burundi is so excited to come and learn from my country. I will be the host, this is to say my team has impact.</t>
  </si>
  <si>
    <t>The resources provided let me to think out the box. I searched online about my product production, but I wanted more information on what I suppose to do. Those resources opened more my eyes.</t>
  </si>
  <si>
    <t>Of course I still learning.</t>
  </si>
  <si>
    <t>Technology demonstrations, Farmer-to-farmer learning, One-on-one support</t>
  </si>
  <si>
    <t>Congratulation to this initiative.</t>
  </si>
  <si>
    <t xml:space="preserve">We have very experienced and handsome facilitators providing very pragmatic guidance. The challenge is with the group participation </t>
  </si>
  <si>
    <t xml:space="preserve">All themes covered todate are very relevant foe today's farmer and how they can address their constraints </t>
  </si>
  <si>
    <t xml:space="preserve">The facilitators are quote experienced. Majority though seemed from kenya with the recent exception on indigenous knowledge l. It would be great to draw expertise from knowledge experts across the participating countries </t>
  </si>
  <si>
    <t xml:space="preserve">The facilitators are experienced and shared from practical exeprirnce . Majority though seemed from kenya with the recent exception on indigenous knowledge l. It would be great to draw expertise from knowledge experts across the participating countries </t>
  </si>
  <si>
    <t xml:space="preserve">Implement a system of record keeping across the production chain , put in place documented safety protocols in the usage of chemicals,  systems for fiancil management at farm, </t>
  </si>
  <si>
    <t>Na</t>
  </si>
  <si>
    <t>Technical advisory, Farm assessment, Technology access, Financing/investment linkages</t>
  </si>
  <si>
    <t>Increase farm productivity, Reduce production and operating costs, Increase farm profitability, Improve farm efficiency, Reduce climate and environmental risks, Improve product quality and food safety, Improve farm management and decision-making, Build a more resilient farm business, Meet customer or market requirements, Prepare my farm for future growth</t>
  </si>
  <si>
    <t xml:space="preserve">Only a few participating </t>
  </si>
  <si>
    <t xml:space="preserve">Mostly presentatiosn from technical experts </t>
  </si>
  <si>
    <t>Consider translation services for colleagues who come from French speaking countries e.g DRC</t>
  </si>
  <si>
    <t>Practical demonstrations, Farm examples, Farmer-to-farmer learning, Business tools/templates</t>
  </si>
  <si>
    <t xml:space="preserve">I am trully grateful for being part of this learning journey. </t>
  </si>
  <si>
    <t>The lectures have been great, full of relevant information. The group discussions are also insightful and an amazing opportunity to interact with other farmers</t>
  </si>
  <si>
    <t>We're aiming to intergrate technology and data to ensure our farm is a smart farm. Technology for efficiency. Renewable energy conversation is also relevant to our farm to reduce dependace on electricity.</t>
  </si>
  <si>
    <t>The presenters have been giving real life experiences.</t>
  </si>
  <si>
    <t>We've found many possible things to implement. Eg Technology, record keeping, use of organic manure, having a 3 streams of income at the farm.</t>
  </si>
  <si>
    <t>1. Technology and Record keeping . 2. Solar 3.Diversification</t>
  </si>
  <si>
    <t xml:space="preserve">What you don't record, you can't improve. For the farm to be successful we must ensure all aspects are taken care of. From the processes, Human Capital, marketing </t>
  </si>
  <si>
    <t>Training, Technical advisory, Financing/investment linkages, Mentorship, Peer learning</t>
  </si>
  <si>
    <t>Reduce production and operating costs, Reduce climate and environmental risks, Improve farm management and decision-making, Prepare my farm for future growth</t>
  </si>
  <si>
    <t xml:space="preserve">So far things are going well . Great facilitators, great modules </t>
  </si>
  <si>
    <t>Technology demonstrations, Farmer-to-farmer learning, Business tools/templates, One-on-one support</t>
  </si>
  <si>
    <t xml:space="preserve">We hope to have a physical meeting one day </t>
  </si>
  <si>
    <t xml:space="preserve">The lessons and method of delivery are easy to comprehend. </t>
  </si>
  <si>
    <t xml:space="preserve">Every topic is a build up from the previous lesson scaling farm production into business. This to me is very important as farmers tend to treat their farms like hobbies. </t>
  </si>
  <si>
    <t xml:space="preserve">Practical examples are given in each lesson. Group discussions cement this as we are able to discuss what we see and do on our farms. </t>
  </si>
  <si>
    <t xml:space="preserve">Like earlier stated, lessons are practical. And this validates the necessity for the training. </t>
  </si>
  <si>
    <t xml:space="preserve">I will scale my farm adopting GAP, quality standards and create a proper value chain. </t>
  </si>
  <si>
    <t xml:space="preserve">1. How ICT technologies can help optimize farm operations. 2. Renewable energy as an energy alternative for power on the farm. </t>
  </si>
  <si>
    <t>Reduce production and operating costs, Build a more resilient farm business, Prepare my farm for future growth</t>
  </si>
  <si>
    <t xml:space="preserve">The groups give us diverse views from different group members from their home country. </t>
  </si>
  <si>
    <t xml:space="preserve">Materials are readily available for future use. </t>
  </si>
  <si>
    <t>The timings for the meeting to accommodate people who work.</t>
  </si>
  <si>
    <t>Case studies, Technology demonstrations, Business tools/templates</t>
  </si>
  <si>
    <t>No</t>
  </si>
  <si>
    <t>The learning experience is generally good though I miss out on recordings for session for sometimes the network is very bad and unable to attend classes but if recordings are available then I am able to revisit the missed topics</t>
  </si>
  <si>
    <t xml:space="preserve">Having participants share real farm situations and giving their perspectives on them </t>
  </si>
  <si>
    <t>Record keeping to help me understand numbers and profitability for my farm</t>
  </si>
  <si>
    <t xml:space="preserve">Proper records and book keeping </t>
  </si>
  <si>
    <t>Shift from traditional farming to modern farming and implementation of technology in my farming business.</t>
  </si>
  <si>
    <t>Technical advisory, Technology access, Financing/investment linkages, Market linkages</t>
  </si>
  <si>
    <t>Increase farm productivity, Reduce climate and environmental risks, Improve product quality and food safety</t>
  </si>
  <si>
    <t xml:space="preserve">Share recorded sessions </t>
  </si>
  <si>
    <t>Practical demonstrations, Technology demonstrations, Business tools/templates</t>
  </si>
  <si>
    <t xml:space="preserve">Thank you the opportunity to be a part of this cohort. </t>
  </si>
  <si>
    <t>Extensive content</t>
  </si>
  <si>
    <t xml:space="preserve">They were engaging and we'll prepared </t>
  </si>
  <si>
    <t xml:space="preserve">Real life examples </t>
  </si>
  <si>
    <t xml:space="preserve">Use of technology </t>
  </si>
  <si>
    <t>Different countries have different regulations and so different technologies apply</t>
  </si>
  <si>
    <t>Technical advisory, Financing/investment linkages, Supplier/solution-provider connections, Mentorship</t>
  </si>
  <si>
    <t>Reduce production and operating costs, Increase farm profitability, Access finance and investment, Adopt new technologies and innovation, Build a more resilient farm business</t>
  </si>
  <si>
    <t xml:space="preserve">Timing </t>
  </si>
  <si>
    <t>Practical demonstrations, Business tools/templates, One-on-one support</t>
  </si>
  <si>
    <t xml:space="preserve">Thanks for the helpful opportunity </t>
  </si>
  <si>
    <t>Excellent participation and communication</t>
  </si>
  <si>
    <t xml:space="preserve">Relevant to my business and learning more about my business and how I can improve it </t>
  </si>
  <si>
    <t xml:space="preserve">Very interactive to us and excellent communication </t>
  </si>
  <si>
    <t>Very interactive</t>
  </si>
  <si>
    <t>Book keeping</t>
  </si>
  <si>
    <t>Certification and compliance</t>
  </si>
  <si>
    <t>Technology access, Financing/investment linkages, Market linkages, Supplier/solution-provider connections</t>
  </si>
  <si>
    <t>Increase farm productivity, Reduce production and operating costs, Increase farm profitability</t>
  </si>
  <si>
    <t>Learnt new ideas</t>
  </si>
  <si>
    <t>More time for the sessions</t>
  </si>
  <si>
    <t>Farm examples, Technology demonstrations, Technical resources</t>
  </si>
  <si>
    <t xml:space="preserve">I have learnt something either from the facilitators or other farmers during the sessions. </t>
  </si>
  <si>
    <t xml:space="preserve">For the sessions I have attended,I found the content appropriate as a templates for where to start with regards to the topic subjects. </t>
  </si>
  <si>
    <t>Slightly practical</t>
  </si>
  <si>
    <t xml:space="preserve">The sessions have been more instructional than practical, and the target audience feels like new farmers not really farmers looking to expand or who have done it for a while. </t>
  </si>
  <si>
    <t>More smart technologies specifically for energy efficiency.</t>
  </si>
  <si>
    <t xml:space="preserve">The problems we have in the East African region in agriculture are infrastructural, policies and frameworks are great but if the means to implement them down to grassroots is unavailable then that great policy remains just that. </t>
  </si>
  <si>
    <t>Technical advisory, Financing/investment linkages, Market linkages</t>
  </si>
  <si>
    <t>Increase farm productivity, Reduce production and operating costs, Increase farm profitability, Improve product quality and food safety, Prepare my farm for future growth</t>
  </si>
  <si>
    <t xml:space="preserve">When people are in attendance there is alot of useful and informative POVs , but because turnouts have been low I don't think the activities/discussions have been as effective </t>
  </si>
  <si>
    <t>2 — Slightly useful</t>
  </si>
  <si>
    <t>Not really seen any resources shared so far...</t>
  </si>
  <si>
    <t xml:space="preserve">1. Timing. The timing for the sessions has been very inconvenient particularly for attendance. 2. I think assigning leadership for the value chains at the beginning is important for the discussion sessions, because sometimes I don't the discussion material is understood during the discussion times and we have to spend a bulk of the time understanding the discussion requirements rather than actually discussing </t>
  </si>
  <si>
    <t>Practical demonstrations, Farmer-to-farmer learning</t>
  </si>
  <si>
    <t xml:space="preserve">Can we get the recordings from the Tuesday sessions especially, I think will help with participation later in the week </t>
  </si>
  <si>
    <t>Great learnings though wish they could have more time and detailed.</t>
  </si>
  <si>
    <t>Very relevant on future farms</t>
  </si>
  <si>
    <t>Very practical sessions</t>
  </si>
  <si>
    <t>Well connected on practical running of the farm</t>
  </si>
  <si>
    <t>Record keeping</t>
  </si>
  <si>
    <t xml:space="preserve">Many great technologies available out here for farm efficiencies </t>
  </si>
  <si>
    <t>Uncertainty about benefits</t>
  </si>
  <si>
    <t>Technical advisory, Financing/investment linkages, Market linkages, Mentorship, Peer learning</t>
  </si>
  <si>
    <t>Increase farm profitability, Improve farm management and decision-making, Meet customer or market requirements</t>
  </si>
  <si>
    <t>Great learnings, might help to tailor them more to value chains</t>
  </si>
  <si>
    <t>More detailed expert sessions</t>
  </si>
  <si>
    <t>Expert sessions, Farmer-to-farmer learning, One-on-one support</t>
  </si>
  <si>
    <t>Great initiative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</si>
</sst>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font>
    <font>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7">
    <border/>
    <border>
      <left style="thin">
        <color rgb="FF442F65"/>
      </left>
      <right style="thin">
        <color rgb="FFFFFFFF"/>
      </right>
      <top style="thin">
        <color rgb="FFFFFFFF"/>
      </top>
      <bottom style="thin">
        <color rgb="FFFFFFFF"/>
      </bottom>
    </border>
    <border>
      <right style="thin">
        <color rgb="FFFFFFFF"/>
      </right>
      <top style="thin">
        <color rgb="FFFFFFFF"/>
      </top>
      <bottom style="thin">
        <color rgb="FFFFFFFF"/>
      </bottom>
    </border>
    <border>
      <left style="thin">
        <color rgb="FF442F65"/>
      </left>
      <right style="thin">
        <color rgb="FFF8F9FA"/>
      </right>
      <top style="thin">
        <color rgb="FFF8F9FA"/>
      </top>
      <bottom style="thin">
        <color rgb="FFF8F9FA"/>
      </bottom>
    </border>
    <border>
      <right style="thin">
        <color rgb="FFF8F9FA"/>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442F65"/>
      </left>
      <right style="thin">
        <color rgb="FFFFFFFF"/>
      </right>
      <top style="thin">
        <color rgb="FFFFFFFF"/>
      </top>
      <bottom style="thin">
        <color rgb="FF442F65"/>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1" fillId="2" fontId="2" numFmtId="164" xfId="0" applyAlignment="1" applyBorder="1" applyFill="1" applyFont="1" applyNumberFormat="1">
      <alignment horizontal="right" shrinkToFit="0" vertical="center" wrapText="0"/>
    </xf>
    <xf borderId="2" fillId="2" fontId="2" numFmtId="0" xfId="0" applyAlignment="1" applyBorder="1" applyFill="1" applyFont="1">
      <alignment readingOrder="0" shrinkToFit="0" vertical="center" wrapText="0"/>
    </xf>
    <xf borderId="0" fillId="2" fontId="2" numFmtId="0" xfId="0" applyAlignment="1" applyFill="1" applyFont="1">
      <alignment shrinkToFit="0" vertical="center" wrapText="0"/>
    </xf>
    <xf borderId="3" fillId="3" fontId="2" numFmtId="164" xfId="0" applyAlignment="1" applyBorder="1" applyFill="1" applyFont="1" applyNumberFormat="1">
      <alignment horizontal="right" shrinkToFit="0" vertical="center" wrapText="0"/>
    </xf>
    <xf borderId="4" fillId="3" fontId="2" numFmtId="0" xfId="0" applyAlignment="1" applyBorder="1" applyFill="1" applyFont="1">
      <alignment readingOrder="0" shrinkToFit="0" vertical="center" wrapText="0"/>
    </xf>
    <xf borderId="0" fillId="3" fontId="2" numFmtId="0" xfId="0" applyAlignment="1" applyFill="1" applyFont="1">
      <alignment shrinkToFit="0" vertical="center" wrapText="0"/>
    </xf>
    <xf borderId="0" fillId="0" fontId="1" numFmtId="0" xfId="0" applyAlignment="1" applyFont="1">
      <alignment shrinkToFit="0" wrapText="0"/>
    </xf>
    <xf borderId="0" fillId="0" fontId="1" numFmtId="164" xfId="0" applyAlignment="1" applyFont="1" applyNumberForma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5" fillId="3" fontId="2" numFmtId="164" xfId="0" applyAlignment="1" applyBorder="1" applyFill="1" applyFont="1" applyNumberFormat="1">
      <alignment horizontal="right" shrinkToFit="0" vertical="center" wrapText="0"/>
    </xf>
    <xf borderId="6" fillId="2" fontId="2" numFmtId="164" xfId="0" applyAlignment="1" applyBorder="1" applyFill="1" applyFont="1" applyNumberFormat="1">
      <alignment horizontal="righ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Form Responses 2-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3</xdr:row>
      <xdr:rowOff>190500</xdr:rowOff>
    </xdr:from>
    <xdr:ext cx="5715000" cy="3533775"/>
    <xdr:pic>
      <xdr:nvPicPr>
        <xdr:cNvPr id="0" name="image1.png" title="Chart"/>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W17" displayName="Form_Responses" name="Form_Responses" id="2">
  <tableColumns count="23">
    <tableColumn name="Timestamp" id="1"/>
    <tableColumn name="NAME ID" id="2"/>
    <tableColumn name="2. How would you rate your overall learning experience during Modules 1–2?  " id="3"/>
    <tableColumn name="Briefly explain the answer above" id="4"/>
    <tableColumn name="3.  How relevant were the topics covered to your farming/business activities? " id="5"/>
    <tableColumn name="Briefly explain the answer above 2" id="6"/>
    <tableColumn name="4.  How well did the facilitators connect the concepts to real farm situations? " id="7"/>
    <tableColumn name="Briefly explain the answer above 3" id="8"/>
    <tableColumn name="5. How practical were the sessions in helping you identify actions you can implement on your farm?" id="9"/>
    <tableColumn name="Briefly explain the answer above 4" id="10"/>
    <tableColumn name="6. What is the ONE change you are most likely to implement on your farm within the next 3–6 months as a result of these sessions? " id="11"/>
    <tableColumn name=" 7. What was the most important thing you learned during Modules 1–2?  " id="12"/>
    <tableColumn name="8. Which ONE of Pillars 1–4 do you consider the highest priority for your farm right now? " id="13"/>
    <tableColumn name="  9. What is the biggest barrier preventing you from adopting future farms practices?  " id="14"/>
    <tableColumn name="  What type of support would you need from Future Farms to implement the practices?  (Select all that apply)" id="15"/>
    <tableColumn name="  10. What could  be your biggest motivation for adopting Future Farms practices?  (Select 3 that apply)" id="16"/>
    <tableColumn name="11.  How effective were the group activities and discussions? " id="17"/>
    <tableColumn name="Briefly explain the answer above 5" id="18"/>
    <tableColumn name="12.  How useful were the resources provided by Future Farms? " id="19"/>
    <tableColumn name="Briefly explain the answer above 6" id="20"/>
    <tableColumn name="13.  What should we improve in coming sessions? " id="21"/>
    <tableColumn name="14.  What would you like Future Farms to provide more of? (Select 3 that apply)" id="22"/>
    <tableColumn name="15.  Any Additional comments, ideas or concerns?" id="23"/>
  </tableColumns>
  <tableStyleInfo name="Form Responses 1-style" showColumnStripes="0" showFirstColumn="1" showLastColumn="1" showRowStripes="1"/>
</table>
</file>

<file path=xl/tables/table2.xml><?xml version="1.0" encoding="utf-8"?>
<table xmlns="http://schemas.openxmlformats.org/spreadsheetml/2006/main" ref="A1:C55" displayName="Form_Responses_2" name="Form_Responses_2" id="1">
  <tableColumns count="3">
    <tableColumn name="Timestamp" id="1"/>
    <tableColumn name="NAME ID" id="2"/>
    <tableColumn name="Gender" id="3"/>
  </tableColumns>
  <tableStyleInfo name="Form Responses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4" width="18.88"/>
    <col customWidth="1" min="5" max="5" width="37.63"/>
    <col customWidth="1" min="6" max="6" width="28.63"/>
    <col customWidth="1" min="7" max="7" width="37.63"/>
    <col customWidth="1" min="8" max="8" width="28.63"/>
    <col customWidth="1" min="9" max="9" width="37.63"/>
    <col customWidth="1" min="10" max="10" width="28.63"/>
    <col customWidth="1" min="11" max="11" width="37.63"/>
    <col customWidth="1" min="12" max="12" width="28.63"/>
    <col customWidth="1" min="13" max="19" width="37.63"/>
    <col customWidth="1" min="20" max="20" width="28.63"/>
    <col customWidth="1" min="21" max="21" width="37.63"/>
    <col customWidth="1" min="22" max="22" width="28.63"/>
    <col customWidth="1" min="23" max="25" width="37.63"/>
  </cols>
  <sheetData>
    <row r="1" ht="22.5" customHeight="1">
      <c r="A1" s="3" t="s">
        <v>8</v>
      </c>
      <c r="B1" s="4" t="s">
        <v>11</v>
      </c>
      <c r="C1" s="3" t="s">
        <v>12</v>
      </c>
      <c r="D1" s="3" t="s">
        <v>13</v>
      </c>
      <c r="E1" s="3" t="s">
        <v>15</v>
      </c>
      <c r="F1" s="3" t="s">
        <v>16</v>
      </c>
      <c r="G1" s="3" t="s">
        <v>18</v>
      </c>
      <c r="H1" s="3" t="s">
        <v>19</v>
      </c>
      <c r="I1" s="3" t="s">
        <v>20</v>
      </c>
      <c r="J1" s="3" t="s">
        <v>21</v>
      </c>
      <c r="K1" s="3" t="s">
        <v>22</v>
      </c>
      <c r="L1" s="3" t="s">
        <v>24</v>
      </c>
      <c r="M1" s="3" t="s">
        <v>25</v>
      </c>
      <c r="N1" s="3" t="s">
        <v>26</v>
      </c>
      <c r="O1" s="3" t="s">
        <v>27</v>
      </c>
      <c r="P1" s="3" t="s">
        <v>28</v>
      </c>
      <c r="Q1" s="3" t="s">
        <v>29</v>
      </c>
      <c r="R1" s="3" t="s">
        <v>30</v>
      </c>
      <c r="S1" s="3" t="s">
        <v>31</v>
      </c>
      <c r="T1" s="3" t="s">
        <v>32</v>
      </c>
      <c r="U1" s="3" t="s">
        <v>33</v>
      </c>
      <c r="V1" s="3" t="s">
        <v>34</v>
      </c>
      <c r="W1" s="3" t="s">
        <v>35</v>
      </c>
    </row>
    <row r="2" ht="22.5" customHeight="1">
      <c r="A2" s="12">
        <v>46262.94253984954</v>
      </c>
      <c r="B2" s="13">
        <v>1.0</v>
      </c>
      <c r="C2" s="14" t="s">
        <v>36</v>
      </c>
      <c r="D2" s="14" t="s">
        <v>37</v>
      </c>
      <c r="E2" s="14" t="s">
        <v>38</v>
      </c>
      <c r="F2" s="14" t="s">
        <v>39</v>
      </c>
      <c r="G2" s="14" t="s">
        <v>40</v>
      </c>
      <c r="H2" s="14" t="s">
        <v>41</v>
      </c>
      <c r="I2" s="14" t="s">
        <v>42</v>
      </c>
      <c r="J2" s="14" t="s">
        <v>43</v>
      </c>
      <c r="K2" s="14" t="s">
        <v>44</v>
      </c>
      <c r="L2" s="14" t="s">
        <v>45</v>
      </c>
      <c r="M2" s="14" t="s">
        <v>46</v>
      </c>
      <c r="N2" s="14" t="s">
        <v>47</v>
      </c>
      <c r="O2" s="14" t="s">
        <v>48</v>
      </c>
      <c r="P2" s="14" t="s">
        <v>49</v>
      </c>
      <c r="Q2" s="14" t="s">
        <v>40</v>
      </c>
      <c r="R2" s="14" t="s">
        <v>50</v>
      </c>
      <c r="S2" s="14" t="s">
        <v>51</v>
      </c>
      <c r="T2" s="14" t="s">
        <v>52</v>
      </c>
      <c r="U2" s="14" t="s">
        <v>53</v>
      </c>
      <c r="V2" s="14" t="s">
        <v>54</v>
      </c>
      <c r="W2" s="14" t="s">
        <v>55</v>
      </c>
    </row>
    <row r="3" ht="22.5" customHeight="1">
      <c r="A3" s="12">
        <v>46262.94876561343</v>
      </c>
      <c r="B3" s="13">
        <v>2.0</v>
      </c>
      <c r="C3" s="14" t="s">
        <v>56</v>
      </c>
      <c r="D3" s="14" t="s">
        <v>57</v>
      </c>
      <c r="E3" s="14" t="s">
        <v>38</v>
      </c>
      <c r="F3" s="14" t="s">
        <v>58</v>
      </c>
      <c r="G3" s="14" t="s">
        <v>56</v>
      </c>
      <c r="H3" s="14" t="s">
        <v>59</v>
      </c>
      <c r="I3" s="14" t="s">
        <v>60</v>
      </c>
      <c r="J3" s="14" t="s">
        <v>61</v>
      </c>
      <c r="K3" s="14" t="s">
        <v>62</v>
      </c>
      <c r="L3" s="14" t="s">
        <v>63</v>
      </c>
      <c r="M3" s="14" t="s">
        <v>46</v>
      </c>
      <c r="N3" s="14" t="s">
        <v>64</v>
      </c>
      <c r="O3" s="14" t="s">
        <v>65</v>
      </c>
      <c r="P3" s="14" t="s">
        <v>66</v>
      </c>
      <c r="Q3" s="14" t="s">
        <v>56</v>
      </c>
      <c r="R3" s="14"/>
      <c r="S3" s="14" t="s">
        <v>67</v>
      </c>
      <c r="T3" s="14"/>
      <c r="U3" s="14" t="s">
        <v>68</v>
      </c>
      <c r="V3" s="14" t="s">
        <v>69</v>
      </c>
      <c r="W3" s="14" t="s">
        <v>70</v>
      </c>
    </row>
    <row r="4" ht="22.5" customHeight="1">
      <c r="A4" s="12">
        <v>46263.45075025463</v>
      </c>
      <c r="B4" s="13">
        <v>3.0</v>
      </c>
      <c r="C4" s="14" t="s">
        <v>36</v>
      </c>
      <c r="D4" s="14" t="s">
        <v>71</v>
      </c>
      <c r="E4" s="14" t="s">
        <v>72</v>
      </c>
      <c r="F4" s="14" t="s">
        <v>73</v>
      </c>
      <c r="G4" s="14" t="s">
        <v>40</v>
      </c>
      <c r="H4" s="14" t="s">
        <v>74</v>
      </c>
      <c r="I4" s="14" t="s">
        <v>42</v>
      </c>
      <c r="J4" s="14" t="s">
        <v>75</v>
      </c>
      <c r="K4" s="14" t="s">
        <v>76</v>
      </c>
      <c r="L4" s="14" t="s">
        <v>77</v>
      </c>
      <c r="M4" s="14" t="s">
        <v>78</v>
      </c>
      <c r="N4" s="14" t="s">
        <v>47</v>
      </c>
      <c r="O4" s="14" t="s">
        <v>79</v>
      </c>
      <c r="P4" s="14" t="s">
        <v>80</v>
      </c>
      <c r="Q4" s="14" t="s">
        <v>40</v>
      </c>
      <c r="R4" s="14" t="s">
        <v>81</v>
      </c>
      <c r="S4" s="14" t="s">
        <v>51</v>
      </c>
      <c r="T4" s="14" t="s">
        <v>82</v>
      </c>
      <c r="U4" s="14" t="s">
        <v>83</v>
      </c>
      <c r="V4" s="14" t="s">
        <v>84</v>
      </c>
      <c r="W4" s="14" t="s">
        <v>85</v>
      </c>
    </row>
    <row r="5" ht="22.5" customHeight="1">
      <c r="A5" s="12">
        <v>46264.27038755787</v>
      </c>
      <c r="B5" s="13">
        <v>4.0</v>
      </c>
      <c r="C5" s="14" t="s">
        <v>86</v>
      </c>
      <c r="D5" s="14" t="s">
        <v>87</v>
      </c>
      <c r="E5" s="14" t="s">
        <v>38</v>
      </c>
      <c r="F5" s="14" t="s">
        <v>88</v>
      </c>
      <c r="G5" s="14" t="s">
        <v>86</v>
      </c>
      <c r="H5" s="14" t="s">
        <v>89</v>
      </c>
      <c r="I5" s="14" t="s">
        <v>60</v>
      </c>
      <c r="J5" s="14" t="s">
        <v>90</v>
      </c>
      <c r="K5" s="14" t="s">
        <v>91</v>
      </c>
      <c r="L5" s="14" t="s">
        <v>92</v>
      </c>
      <c r="M5" s="14" t="s">
        <v>93</v>
      </c>
      <c r="N5" s="14" t="s">
        <v>94</v>
      </c>
      <c r="O5" s="14" t="s">
        <v>95</v>
      </c>
      <c r="P5" s="14" t="s">
        <v>96</v>
      </c>
      <c r="Q5" s="14" t="s">
        <v>86</v>
      </c>
      <c r="R5" s="14" t="s">
        <v>97</v>
      </c>
      <c r="S5" s="14" t="s">
        <v>67</v>
      </c>
      <c r="T5" s="14" t="s">
        <v>98</v>
      </c>
      <c r="U5" s="14" t="s">
        <v>99</v>
      </c>
      <c r="V5" s="14" t="s">
        <v>84</v>
      </c>
      <c r="W5" s="14" t="s">
        <v>100</v>
      </c>
    </row>
    <row r="6" ht="22.5" customHeight="1">
      <c r="A6" s="12">
        <v>46264.922450972226</v>
      </c>
      <c r="B6" s="13">
        <v>5.0</v>
      </c>
      <c r="C6" s="14" t="s">
        <v>86</v>
      </c>
      <c r="D6" s="14" t="s">
        <v>101</v>
      </c>
      <c r="E6" s="14" t="s">
        <v>72</v>
      </c>
      <c r="F6" s="14" t="s">
        <v>102</v>
      </c>
      <c r="G6" s="14" t="s">
        <v>40</v>
      </c>
      <c r="H6" s="14" t="s">
        <v>103</v>
      </c>
      <c r="I6" s="14" t="s">
        <v>104</v>
      </c>
      <c r="J6" s="14" t="s">
        <v>105</v>
      </c>
      <c r="K6" s="14" t="s">
        <v>106</v>
      </c>
      <c r="L6" s="14" t="s">
        <v>107</v>
      </c>
      <c r="M6" s="14" t="s">
        <v>78</v>
      </c>
      <c r="N6" s="14" t="s">
        <v>47</v>
      </c>
      <c r="O6" s="14" t="s">
        <v>108</v>
      </c>
      <c r="P6" s="14" t="s">
        <v>109</v>
      </c>
      <c r="Q6" s="14" t="s">
        <v>86</v>
      </c>
      <c r="R6" s="14" t="s">
        <v>110</v>
      </c>
      <c r="S6" s="14" t="s">
        <v>51</v>
      </c>
      <c r="T6" s="14" t="s">
        <v>111</v>
      </c>
      <c r="U6" s="14" t="s">
        <v>112</v>
      </c>
      <c r="V6" s="14" t="s">
        <v>113</v>
      </c>
      <c r="W6" s="14" t="s">
        <v>114</v>
      </c>
    </row>
    <row r="7" ht="22.5" customHeight="1">
      <c r="A7" s="12">
        <v>46265.414739722226</v>
      </c>
      <c r="B7" s="13">
        <v>6.0</v>
      </c>
      <c r="C7" s="14" t="s">
        <v>86</v>
      </c>
      <c r="D7" s="14" t="s">
        <v>115</v>
      </c>
      <c r="E7" s="14" t="s">
        <v>116</v>
      </c>
      <c r="F7" s="14" t="s">
        <v>117</v>
      </c>
      <c r="G7" s="14" t="s">
        <v>40</v>
      </c>
      <c r="H7" s="14" t="s">
        <v>118</v>
      </c>
      <c r="I7" s="14" t="s">
        <v>104</v>
      </c>
      <c r="J7" s="14" t="s">
        <v>119</v>
      </c>
      <c r="K7" s="14" t="s">
        <v>120</v>
      </c>
      <c r="L7" s="14" t="s">
        <v>121</v>
      </c>
      <c r="M7" s="14" t="s">
        <v>93</v>
      </c>
      <c r="N7" s="14" t="s">
        <v>47</v>
      </c>
      <c r="O7" s="14" t="s">
        <v>122</v>
      </c>
      <c r="P7" s="14" t="s">
        <v>123</v>
      </c>
      <c r="Q7" s="14" t="s">
        <v>40</v>
      </c>
      <c r="R7" s="14" t="s">
        <v>124</v>
      </c>
      <c r="S7" s="14" t="s">
        <v>67</v>
      </c>
      <c r="T7" s="14" t="s">
        <v>125</v>
      </c>
      <c r="U7" s="14" t="s">
        <v>126</v>
      </c>
      <c r="V7" s="14" t="s">
        <v>127</v>
      </c>
      <c r="W7" s="14" t="s">
        <v>128</v>
      </c>
    </row>
    <row r="8" ht="22.5" customHeight="1">
      <c r="A8" s="12">
        <v>46266.39433627315</v>
      </c>
      <c r="B8" s="13">
        <v>7.0</v>
      </c>
      <c r="C8" s="14" t="s">
        <v>86</v>
      </c>
      <c r="D8" s="14" t="s">
        <v>129</v>
      </c>
      <c r="E8" s="14" t="s">
        <v>38</v>
      </c>
      <c r="F8" s="14"/>
      <c r="G8" s="14" t="s">
        <v>86</v>
      </c>
      <c r="H8" s="14" t="s">
        <v>130</v>
      </c>
      <c r="I8" s="14" t="s">
        <v>104</v>
      </c>
      <c r="J8" s="14" t="s">
        <v>131</v>
      </c>
      <c r="K8" s="14" t="s">
        <v>132</v>
      </c>
      <c r="L8" s="14" t="s">
        <v>133</v>
      </c>
      <c r="M8" s="14" t="s">
        <v>93</v>
      </c>
      <c r="N8" s="14" t="s">
        <v>134</v>
      </c>
      <c r="O8" s="14" t="s">
        <v>135</v>
      </c>
      <c r="P8" s="14" t="s">
        <v>136</v>
      </c>
      <c r="Q8" s="14" t="s">
        <v>56</v>
      </c>
      <c r="R8" s="14"/>
      <c r="S8" s="14" t="s">
        <v>67</v>
      </c>
      <c r="T8" s="14"/>
      <c r="U8" s="14" t="s">
        <v>137</v>
      </c>
      <c r="V8" s="14" t="s">
        <v>138</v>
      </c>
      <c r="W8" s="14" t="s">
        <v>139</v>
      </c>
    </row>
    <row r="9" ht="22.5" customHeight="1">
      <c r="A9" s="12">
        <v>46266.4945628125</v>
      </c>
      <c r="B9" s="13">
        <v>8.0</v>
      </c>
      <c r="C9" s="14" t="s">
        <v>36</v>
      </c>
      <c r="D9" s="14" t="s">
        <v>140</v>
      </c>
      <c r="E9" s="14" t="s">
        <v>72</v>
      </c>
      <c r="F9" s="14" t="s">
        <v>141</v>
      </c>
      <c r="G9" s="14" t="s">
        <v>40</v>
      </c>
      <c r="H9" s="14" t="s">
        <v>142</v>
      </c>
      <c r="I9" s="14" t="s">
        <v>104</v>
      </c>
      <c r="J9" s="14" t="s">
        <v>143</v>
      </c>
      <c r="K9" s="14" t="s">
        <v>144</v>
      </c>
      <c r="L9" s="14" t="s">
        <v>145</v>
      </c>
      <c r="M9" s="14" t="s">
        <v>146</v>
      </c>
      <c r="N9" s="14" t="s">
        <v>47</v>
      </c>
      <c r="O9" s="14" t="s">
        <v>147</v>
      </c>
      <c r="P9" s="14" t="s">
        <v>148</v>
      </c>
      <c r="Q9" s="14" t="s">
        <v>86</v>
      </c>
      <c r="R9" s="14" t="s">
        <v>149</v>
      </c>
      <c r="S9" s="14" t="s">
        <v>51</v>
      </c>
      <c r="T9" s="14" t="s">
        <v>150</v>
      </c>
      <c r="U9" s="14" t="s">
        <v>151</v>
      </c>
      <c r="V9" s="14" t="s">
        <v>152</v>
      </c>
      <c r="W9" s="14" t="s">
        <v>153</v>
      </c>
    </row>
    <row r="10" ht="22.5" customHeight="1">
      <c r="A10" s="12">
        <v>46266.53896914352</v>
      </c>
      <c r="B10" s="13">
        <v>9.0</v>
      </c>
      <c r="C10" s="14" t="s">
        <v>86</v>
      </c>
      <c r="D10" s="14" t="s">
        <v>154</v>
      </c>
      <c r="E10" s="14" t="s">
        <v>38</v>
      </c>
      <c r="F10" s="14" t="s">
        <v>155</v>
      </c>
      <c r="G10" s="14" t="s">
        <v>86</v>
      </c>
      <c r="H10" s="14" t="s">
        <v>156</v>
      </c>
      <c r="I10" s="14" t="s">
        <v>104</v>
      </c>
      <c r="J10" s="14" t="s">
        <v>157</v>
      </c>
      <c r="K10" s="14" t="s">
        <v>158</v>
      </c>
      <c r="L10" s="14" t="s">
        <v>159</v>
      </c>
      <c r="M10" s="14" t="s">
        <v>78</v>
      </c>
      <c r="N10" s="14" t="s">
        <v>94</v>
      </c>
      <c r="O10" s="14" t="s">
        <v>160</v>
      </c>
      <c r="P10" s="14" t="s">
        <v>161</v>
      </c>
      <c r="Q10" s="14" t="s">
        <v>56</v>
      </c>
      <c r="R10" s="14" t="s">
        <v>162</v>
      </c>
      <c r="S10" s="14" t="s">
        <v>67</v>
      </c>
      <c r="T10" s="14" t="s">
        <v>163</v>
      </c>
      <c r="U10" s="14" t="s">
        <v>164</v>
      </c>
      <c r="V10" s="14" t="s">
        <v>165</v>
      </c>
      <c r="W10" s="14" t="s">
        <v>166</v>
      </c>
    </row>
    <row r="11" ht="22.5" customHeight="1">
      <c r="A11" s="12">
        <v>46267.35174684028</v>
      </c>
      <c r="B11" s="13">
        <v>10.0</v>
      </c>
      <c r="C11" s="14" t="s">
        <v>36</v>
      </c>
      <c r="D11" s="14" t="s">
        <v>167</v>
      </c>
      <c r="E11" s="14" t="s">
        <v>72</v>
      </c>
      <c r="F11" s="14" t="s">
        <v>168</v>
      </c>
      <c r="G11" s="14" t="s">
        <v>40</v>
      </c>
      <c r="H11" s="14" t="s">
        <v>169</v>
      </c>
      <c r="I11" s="14" t="s">
        <v>104</v>
      </c>
      <c r="J11" s="14" t="s">
        <v>170</v>
      </c>
      <c r="K11" s="14" t="s">
        <v>171</v>
      </c>
      <c r="L11" s="14" t="s">
        <v>172</v>
      </c>
      <c r="M11" s="14" t="s">
        <v>78</v>
      </c>
      <c r="N11" s="14" t="s">
        <v>47</v>
      </c>
      <c r="O11" s="14" t="s">
        <v>173</v>
      </c>
      <c r="P11" s="14" t="s">
        <v>174</v>
      </c>
      <c r="Q11" s="14" t="s">
        <v>86</v>
      </c>
      <c r="R11" s="14"/>
      <c r="S11" s="14" t="s">
        <v>67</v>
      </c>
      <c r="T11" s="14"/>
      <c r="U11" s="14" t="s">
        <v>175</v>
      </c>
      <c r="V11" s="14" t="s">
        <v>176</v>
      </c>
      <c r="W11" s="14" t="s">
        <v>177</v>
      </c>
    </row>
    <row r="12" ht="22.5" customHeight="1">
      <c r="A12" s="12">
        <v>46267.35389637732</v>
      </c>
      <c r="B12" s="13">
        <v>11.0</v>
      </c>
      <c r="C12" s="14" t="s">
        <v>86</v>
      </c>
      <c r="D12" s="14" t="s">
        <v>178</v>
      </c>
      <c r="E12" s="14" t="s">
        <v>38</v>
      </c>
      <c r="F12" s="14" t="s">
        <v>179</v>
      </c>
      <c r="G12" s="14" t="s">
        <v>40</v>
      </c>
      <c r="H12" s="14" t="s">
        <v>180</v>
      </c>
      <c r="I12" s="14" t="s">
        <v>42</v>
      </c>
      <c r="J12" s="14" t="s">
        <v>181</v>
      </c>
      <c r="K12" s="14" t="s">
        <v>182</v>
      </c>
      <c r="L12" s="14" t="s">
        <v>183</v>
      </c>
      <c r="M12" s="14" t="s">
        <v>93</v>
      </c>
      <c r="N12" s="14" t="s">
        <v>47</v>
      </c>
      <c r="O12" s="14" t="s">
        <v>122</v>
      </c>
      <c r="P12" s="14" t="s">
        <v>184</v>
      </c>
      <c r="Q12" s="14" t="s">
        <v>40</v>
      </c>
      <c r="R12" s="14" t="s">
        <v>185</v>
      </c>
      <c r="S12" s="14" t="s">
        <v>67</v>
      </c>
      <c r="T12" s="14" t="s">
        <v>186</v>
      </c>
      <c r="U12" s="14" t="s">
        <v>187</v>
      </c>
      <c r="V12" s="14" t="s">
        <v>188</v>
      </c>
      <c r="W12" s="14" t="s">
        <v>189</v>
      </c>
    </row>
    <row r="13" ht="22.5" customHeight="1">
      <c r="A13" s="12">
        <v>46267.36837136574</v>
      </c>
      <c r="B13" s="13">
        <v>12.0</v>
      </c>
      <c r="C13" s="14" t="s">
        <v>86</v>
      </c>
      <c r="D13" s="14" t="s">
        <v>190</v>
      </c>
      <c r="E13" s="14" t="s">
        <v>38</v>
      </c>
      <c r="F13" s="14"/>
      <c r="G13" s="14" t="s">
        <v>86</v>
      </c>
      <c r="H13" s="14" t="s">
        <v>191</v>
      </c>
      <c r="I13" s="14" t="s">
        <v>104</v>
      </c>
      <c r="J13" s="14" t="s">
        <v>192</v>
      </c>
      <c r="K13" s="14" t="s">
        <v>193</v>
      </c>
      <c r="L13" s="14" t="s">
        <v>194</v>
      </c>
      <c r="M13" s="14" t="s">
        <v>78</v>
      </c>
      <c r="N13" s="14" t="s">
        <v>47</v>
      </c>
      <c r="O13" s="14" t="s">
        <v>195</v>
      </c>
      <c r="P13" s="14" t="s">
        <v>196</v>
      </c>
      <c r="Q13" s="14" t="s">
        <v>56</v>
      </c>
      <c r="R13" s="14"/>
      <c r="S13" s="14" t="s">
        <v>67</v>
      </c>
      <c r="T13" s="14"/>
      <c r="U13" s="14" t="s">
        <v>197</v>
      </c>
      <c r="V13" s="14" t="s">
        <v>198</v>
      </c>
      <c r="W13" s="14" t="s">
        <v>199</v>
      </c>
    </row>
    <row r="14" ht="22.5" customHeight="1">
      <c r="A14" s="12">
        <v>46267.39667569444</v>
      </c>
      <c r="B14" s="13">
        <v>13.0</v>
      </c>
      <c r="C14" s="14" t="s">
        <v>86</v>
      </c>
      <c r="D14" s="14" t="s">
        <v>200</v>
      </c>
      <c r="E14" s="14" t="s">
        <v>38</v>
      </c>
      <c r="F14" s="14"/>
      <c r="G14" s="14" t="s">
        <v>40</v>
      </c>
      <c r="H14" s="14" t="s">
        <v>201</v>
      </c>
      <c r="I14" s="14" t="s">
        <v>42</v>
      </c>
      <c r="J14" s="14" t="s">
        <v>202</v>
      </c>
      <c r="K14" s="14" t="s">
        <v>203</v>
      </c>
      <c r="L14" s="14" t="s">
        <v>204</v>
      </c>
      <c r="M14" s="14" t="s">
        <v>146</v>
      </c>
      <c r="N14" s="14" t="s">
        <v>64</v>
      </c>
      <c r="O14" s="14" t="s">
        <v>205</v>
      </c>
      <c r="P14" s="14" t="s">
        <v>206</v>
      </c>
      <c r="Q14" s="14" t="s">
        <v>40</v>
      </c>
      <c r="R14" s="14"/>
      <c r="S14" s="14" t="s">
        <v>67</v>
      </c>
      <c r="T14" s="14"/>
      <c r="U14" s="14" t="s">
        <v>207</v>
      </c>
      <c r="V14" s="14" t="s">
        <v>208</v>
      </c>
      <c r="W14" s="14" t="s">
        <v>209</v>
      </c>
    </row>
    <row r="15" ht="22.5" customHeight="1">
      <c r="A15" s="12">
        <v>46267.40039405093</v>
      </c>
      <c r="B15" s="13">
        <v>14.0</v>
      </c>
      <c r="C15" s="14" t="s">
        <v>86</v>
      </c>
      <c r="D15" s="14" t="s">
        <v>210</v>
      </c>
      <c r="E15" s="14" t="s">
        <v>72</v>
      </c>
      <c r="F15" s="14" t="s">
        <v>211</v>
      </c>
      <c r="G15" s="14" t="s">
        <v>40</v>
      </c>
      <c r="H15" s="14" t="s">
        <v>212</v>
      </c>
      <c r="I15" s="14" t="s">
        <v>104</v>
      </c>
      <c r="J15" s="14" t="s">
        <v>213</v>
      </c>
      <c r="K15" s="14" t="s">
        <v>214</v>
      </c>
      <c r="L15" s="14" t="s">
        <v>215</v>
      </c>
      <c r="M15" s="14" t="s">
        <v>46</v>
      </c>
      <c r="N15" s="14" t="s">
        <v>94</v>
      </c>
      <c r="O15" s="14" t="s">
        <v>216</v>
      </c>
      <c r="P15" s="14" t="s">
        <v>217</v>
      </c>
      <c r="Q15" s="14" t="s">
        <v>86</v>
      </c>
      <c r="R15" s="14" t="s">
        <v>213</v>
      </c>
      <c r="S15" s="14" t="s">
        <v>67</v>
      </c>
      <c r="T15" s="14" t="s">
        <v>218</v>
      </c>
      <c r="U15" s="14" t="s">
        <v>219</v>
      </c>
      <c r="V15" s="14" t="s">
        <v>220</v>
      </c>
      <c r="W15" s="14" t="s">
        <v>189</v>
      </c>
    </row>
    <row r="16" ht="22.5" customHeight="1">
      <c r="A16" s="12">
        <v>46267.44168236111</v>
      </c>
      <c r="B16" s="13">
        <v>15.0</v>
      </c>
      <c r="C16" s="14" t="s">
        <v>56</v>
      </c>
      <c r="D16" s="14" t="s">
        <v>221</v>
      </c>
      <c r="E16" s="14" t="s">
        <v>116</v>
      </c>
      <c r="F16" s="14"/>
      <c r="G16" s="14" t="s">
        <v>56</v>
      </c>
      <c r="H16" s="14" t="s">
        <v>222</v>
      </c>
      <c r="I16" s="14" t="s">
        <v>223</v>
      </c>
      <c r="J16" s="14" t="s">
        <v>224</v>
      </c>
      <c r="K16" s="14" t="s">
        <v>225</v>
      </c>
      <c r="L16" s="14" t="s">
        <v>226</v>
      </c>
      <c r="M16" s="14" t="s">
        <v>146</v>
      </c>
      <c r="N16" s="14" t="s">
        <v>47</v>
      </c>
      <c r="O16" s="14" t="s">
        <v>227</v>
      </c>
      <c r="P16" s="14" t="s">
        <v>228</v>
      </c>
      <c r="Q16" s="14" t="s">
        <v>56</v>
      </c>
      <c r="R16" s="14" t="s">
        <v>229</v>
      </c>
      <c r="S16" s="14" t="s">
        <v>230</v>
      </c>
      <c r="T16" s="14" t="s">
        <v>231</v>
      </c>
      <c r="U16" s="14" t="s">
        <v>232</v>
      </c>
      <c r="V16" s="14" t="s">
        <v>233</v>
      </c>
      <c r="W16" s="14" t="s">
        <v>234</v>
      </c>
    </row>
    <row r="17" ht="22.5" customHeight="1">
      <c r="A17" s="12">
        <v>46268.715498958336</v>
      </c>
      <c r="B17" s="13">
        <v>16.0</v>
      </c>
      <c r="C17" s="14" t="s">
        <v>56</v>
      </c>
      <c r="D17" s="14" t="s">
        <v>235</v>
      </c>
      <c r="E17" s="14" t="s">
        <v>38</v>
      </c>
      <c r="F17" s="14" t="s">
        <v>236</v>
      </c>
      <c r="G17" s="14" t="s">
        <v>86</v>
      </c>
      <c r="H17" s="14" t="s">
        <v>237</v>
      </c>
      <c r="I17" s="14" t="s">
        <v>104</v>
      </c>
      <c r="J17" s="14" t="s">
        <v>238</v>
      </c>
      <c r="K17" s="14" t="s">
        <v>239</v>
      </c>
      <c r="L17" s="14" t="s">
        <v>240</v>
      </c>
      <c r="M17" s="14" t="s">
        <v>78</v>
      </c>
      <c r="N17" s="14" t="s">
        <v>241</v>
      </c>
      <c r="O17" s="14" t="s">
        <v>242</v>
      </c>
      <c r="P17" s="14" t="s">
        <v>243</v>
      </c>
      <c r="Q17" s="14" t="s">
        <v>56</v>
      </c>
      <c r="R17" s="14" t="s">
        <v>244</v>
      </c>
      <c r="S17" s="14" t="s">
        <v>67</v>
      </c>
      <c r="T17" s="14"/>
      <c r="U17" s="14" t="s">
        <v>245</v>
      </c>
      <c r="V17" s="14" t="s">
        <v>246</v>
      </c>
      <c r="W17" s="14" t="s">
        <v>247</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4" width="18.88"/>
    <col customWidth="1" min="5" max="5" width="37.63"/>
    <col customWidth="1" min="6" max="6" width="28.63"/>
    <col customWidth="1" min="7" max="7" width="37.63"/>
  </cols>
  <sheetData>
    <row r="1" ht="22.5" customHeight="1">
      <c r="A1" s="3" t="s">
        <v>8</v>
      </c>
      <c r="B1" s="4" t="s">
        <v>11</v>
      </c>
      <c r="C1" s="3" t="s">
        <v>2</v>
      </c>
    </row>
    <row r="2" ht="22.5" customHeight="1">
      <c r="A2" s="5">
        <v>46273.7321600463</v>
      </c>
      <c r="B2" s="6">
        <v>1.0</v>
      </c>
      <c r="C2" s="7" t="s">
        <v>17</v>
      </c>
    </row>
    <row r="3" ht="22.5" customHeight="1">
      <c r="A3" s="8">
        <v>46273.73260805555</v>
      </c>
      <c r="B3" s="9">
        <v>2.0</v>
      </c>
      <c r="C3" s="10" t="s">
        <v>23</v>
      </c>
    </row>
    <row r="4" ht="22.5" customHeight="1">
      <c r="A4" s="5">
        <v>46273.73294447917</v>
      </c>
      <c r="B4" s="6">
        <v>3.0</v>
      </c>
      <c r="C4" s="7" t="s">
        <v>23</v>
      </c>
    </row>
    <row r="5" ht="22.5" customHeight="1">
      <c r="A5" s="8">
        <v>46273.73517324074</v>
      </c>
      <c r="B5" s="9">
        <v>4.0</v>
      </c>
      <c r="C5" s="10" t="s">
        <v>17</v>
      </c>
    </row>
    <row r="6" ht="22.5" customHeight="1">
      <c r="A6" s="5">
        <v>46273.7395744213</v>
      </c>
      <c r="B6" s="6">
        <v>5.0</v>
      </c>
      <c r="C6" s="7" t="s">
        <v>17</v>
      </c>
    </row>
    <row r="7" ht="22.5" customHeight="1">
      <c r="A7" s="8">
        <v>46273.74148445602</v>
      </c>
      <c r="B7" s="9">
        <v>6.0</v>
      </c>
      <c r="C7" s="10" t="s">
        <v>23</v>
      </c>
    </row>
    <row r="8" ht="22.5" customHeight="1">
      <c r="A8" s="5">
        <v>46273.743354039354</v>
      </c>
      <c r="B8" s="6">
        <v>7.0</v>
      </c>
      <c r="C8" s="7" t="s">
        <v>17</v>
      </c>
    </row>
    <row r="9" ht="22.5" customHeight="1">
      <c r="A9" s="8">
        <v>46273.749765960645</v>
      </c>
      <c r="B9" s="9">
        <v>8.0</v>
      </c>
      <c r="C9" s="10" t="s">
        <v>17</v>
      </c>
    </row>
    <row r="10" ht="22.5" customHeight="1">
      <c r="A10" s="5">
        <v>46273.75571344908</v>
      </c>
      <c r="B10" s="6">
        <v>9.0</v>
      </c>
      <c r="C10" s="7" t="s">
        <v>17</v>
      </c>
    </row>
    <row r="11" ht="22.5" customHeight="1">
      <c r="A11" s="8">
        <v>46273.75624207176</v>
      </c>
      <c r="B11" s="9">
        <v>10.0</v>
      </c>
      <c r="C11" s="10" t="s">
        <v>17</v>
      </c>
    </row>
    <row r="12" ht="22.5" customHeight="1">
      <c r="A12" s="5">
        <v>46273.77231061342</v>
      </c>
      <c r="B12" s="6">
        <v>11.0</v>
      </c>
      <c r="C12" s="7" t="s">
        <v>17</v>
      </c>
    </row>
    <row r="13" ht="22.5" customHeight="1">
      <c r="A13" s="8">
        <v>46273.7725306713</v>
      </c>
      <c r="B13" s="9">
        <v>12.0</v>
      </c>
      <c r="C13" s="10" t="s">
        <v>17</v>
      </c>
    </row>
    <row r="14" ht="22.5" customHeight="1">
      <c r="A14" s="5">
        <v>46273.79386369213</v>
      </c>
      <c r="B14" s="6">
        <v>13.0</v>
      </c>
      <c r="C14" s="7" t="s">
        <v>17</v>
      </c>
    </row>
    <row r="15" ht="22.5" customHeight="1">
      <c r="A15" s="8">
        <v>46273.7946293287</v>
      </c>
      <c r="B15" s="9">
        <v>14.0</v>
      </c>
      <c r="C15" s="10" t="s">
        <v>23</v>
      </c>
    </row>
    <row r="16" ht="22.5" customHeight="1">
      <c r="A16" s="5">
        <v>46273.79626574074</v>
      </c>
      <c r="B16" s="6">
        <v>15.0</v>
      </c>
      <c r="C16" s="7" t="s">
        <v>17</v>
      </c>
    </row>
    <row r="17" ht="22.5" customHeight="1">
      <c r="A17" s="8">
        <v>46273.894831412035</v>
      </c>
      <c r="B17" s="9">
        <v>16.0</v>
      </c>
      <c r="C17" s="10" t="s">
        <v>23</v>
      </c>
    </row>
    <row r="18" ht="22.5" customHeight="1">
      <c r="A18" s="5">
        <v>46273.98979730324</v>
      </c>
      <c r="B18" s="6">
        <v>17.0</v>
      </c>
      <c r="C18" s="7" t="s">
        <v>17</v>
      </c>
    </row>
    <row r="19" ht="22.5" customHeight="1">
      <c r="A19" s="8">
        <v>46280.731419398144</v>
      </c>
      <c r="B19" s="9">
        <v>18.0</v>
      </c>
      <c r="C19" s="10" t="s">
        <v>17</v>
      </c>
    </row>
    <row r="20" ht="22.5" customHeight="1">
      <c r="A20" s="5">
        <v>46280.73205568287</v>
      </c>
      <c r="B20" s="6">
        <v>19.0</v>
      </c>
      <c r="C20" s="7" t="s">
        <v>17</v>
      </c>
    </row>
    <row r="21" ht="22.5" customHeight="1">
      <c r="A21" s="8">
        <v>46280.732258738426</v>
      </c>
      <c r="B21" s="9">
        <v>20.0</v>
      </c>
      <c r="C21" s="10" t="s">
        <v>17</v>
      </c>
    </row>
    <row r="22" ht="22.5" customHeight="1">
      <c r="A22" s="5">
        <v>46280.73417373843</v>
      </c>
      <c r="B22" s="6">
        <v>21.0</v>
      </c>
      <c r="C22" s="7" t="s">
        <v>23</v>
      </c>
    </row>
    <row r="23" ht="22.5" customHeight="1">
      <c r="A23" s="8">
        <v>46280.735052488424</v>
      </c>
      <c r="B23" s="9">
        <v>22.0</v>
      </c>
      <c r="C23" s="10" t="s">
        <v>17</v>
      </c>
    </row>
    <row r="24" ht="22.5" customHeight="1">
      <c r="A24" s="5">
        <v>46280.73524363426</v>
      </c>
      <c r="B24" s="6">
        <v>23.0</v>
      </c>
      <c r="C24" s="7" t="s">
        <v>17</v>
      </c>
    </row>
    <row r="25" ht="22.5" customHeight="1">
      <c r="A25" s="8">
        <v>46280.73691866898</v>
      </c>
      <c r="B25" s="9">
        <v>24.0</v>
      </c>
      <c r="C25" s="10" t="s">
        <v>17</v>
      </c>
    </row>
    <row r="26" ht="22.5" customHeight="1">
      <c r="A26" s="5">
        <v>46280.73801792824</v>
      </c>
      <c r="B26" s="6">
        <v>25.0</v>
      </c>
      <c r="C26" s="7" t="s">
        <v>23</v>
      </c>
    </row>
    <row r="27" ht="22.5" customHeight="1">
      <c r="A27" s="8">
        <v>46280.74488300926</v>
      </c>
      <c r="B27" s="9">
        <v>26.0</v>
      </c>
      <c r="C27" s="10" t="s">
        <v>17</v>
      </c>
    </row>
    <row r="28" ht="22.5" customHeight="1">
      <c r="A28" s="5">
        <v>46280.745091226854</v>
      </c>
      <c r="B28" s="6">
        <v>27.0</v>
      </c>
      <c r="C28" s="7" t="s">
        <v>17</v>
      </c>
    </row>
    <row r="29" ht="22.5" customHeight="1">
      <c r="A29" s="8">
        <v>46280.76385134259</v>
      </c>
      <c r="B29" s="9">
        <v>28.0</v>
      </c>
      <c r="C29" s="10" t="s">
        <v>17</v>
      </c>
    </row>
    <row r="30" ht="22.5" customHeight="1">
      <c r="A30" s="5">
        <v>46280.763895729164</v>
      </c>
      <c r="B30" s="6">
        <v>29.0</v>
      </c>
      <c r="C30" s="7" t="s">
        <v>23</v>
      </c>
    </row>
    <row r="31" ht="22.5" customHeight="1">
      <c r="A31" s="8">
        <v>46280.77011525463</v>
      </c>
      <c r="B31" s="9">
        <v>30.0</v>
      </c>
      <c r="C31" s="10" t="s">
        <v>17</v>
      </c>
    </row>
    <row r="32" ht="22.5" customHeight="1">
      <c r="A32" s="5">
        <v>46280.77114928241</v>
      </c>
      <c r="B32" s="6">
        <v>31.0</v>
      </c>
      <c r="C32" s="7" t="s">
        <v>17</v>
      </c>
    </row>
    <row r="33" ht="22.5" customHeight="1">
      <c r="A33" s="8">
        <v>46280.7769774537</v>
      </c>
      <c r="B33" s="9">
        <v>32.0</v>
      </c>
      <c r="C33" s="10" t="s">
        <v>17</v>
      </c>
    </row>
    <row r="34" ht="22.5" customHeight="1">
      <c r="A34" s="5">
        <v>46280.77764925926</v>
      </c>
      <c r="B34" s="6">
        <v>33.0</v>
      </c>
      <c r="C34" s="7" t="s">
        <v>17</v>
      </c>
    </row>
    <row r="35" ht="22.5" customHeight="1">
      <c r="A35" s="5">
        <v>46282.78883065972</v>
      </c>
      <c r="B35" s="9">
        <v>34.0</v>
      </c>
      <c r="C35" s="7" t="s">
        <v>17</v>
      </c>
    </row>
    <row r="36" ht="22.5" customHeight="1">
      <c r="A36" s="8">
        <v>46282.79083582176</v>
      </c>
      <c r="B36" s="6">
        <v>35.0</v>
      </c>
      <c r="C36" s="10" t="s">
        <v>17</v>
      </c>
    </row>
    <row r="37" ht="22.5" customHeight="1">
      <c r="A37" s="5">
        <v>46282.7917756713</v>
      </c>
      <c r="B37" s="9">
        <v>36.0</v>
      </c>
      <c r="C37" s="7" t="s">
        <v>17</v>
      </c>
    </row>
    <row r="38" ht="22.5" customHeight="1">
      <c r="A38" s="8">
        <v>46282.79309847222</v>
      </c>
      <c r="B38" s="6">
        <v>37.0</v>
      </c>
      <c r="C38" s="10" t="s">
        <v>17</v>
      </c>
    </row>
    <row r="39" ht="22.5" customHeight="1">
      <c r="A39" s="5">
        <v>46282.7939469213</v>
      </c>
      <c r="B39" s="9">
        <v>38.0</v>
      </c>
      <c r="C39" s="7" t="s">
        <v>17</v>
      </c>
    </row>
    <row r="40" ht="22.5" customHeight="1">
      <c r="A40" s="15">
        <v>46282.79950520833</v>
      </c>
      <c r="B40" s="6">
        <v>39.0</v>
      </c>
      <c r="C40" s="10" t="s">
        <v>17</v>
      </c>
    </row>
    <row r="41" ht="22.5" customHeight="1">
      <c r="A41" s="5">
        <v>46288.73553734954</v>
      </c>
      <c r="B41" s="9">
        <v>40.0</v>
      </c>
      <c r="C41" s="7" t="s">
        <v>23</v>
      </c>
    </row>
    <row r="42" ht="22.5" customHeight="1">
      <c r="A42" s="8">
        <v>46288.7355415625</v>
      </c>
      <c r="B42" s="6">
        <v>41.0</v>
      </c>
      <c r="C42" s="10" t="s">
        <v>17</v>
      </c>
    </row>
    <row r="43" ht="22.5" customHeight="1">
      <c r="A43" s="5">
        <v>46288.736062870375</v>
      </c>
      <c r="B43" s="9">
        <v>42.0</v>
      </c>
      <c r="C43" s="7" t="s">
        <v>17</v>
      </c>
    </row>
    <row r="44" ht="22.5" customHeight="1">
      <c r="A44" s="8">
        <v>46288.7404022338</v>
      </c>
      <c r="B44" s="6">
        <v>43.0</v>
      </c>
      <c r="C44" s="10" t="s">
        <v>17</v>
      </c>
    </row>
    <row r="45" ht="22.5" customHeight="1">
      <c r="A45" s="5">
        <v>46288.7559503588</v>
      </c>
      <c r="B45" s="9">
        <v>44.0</v>
      </c>
      <c r="C45" s="7" t="s">
        <v>23</v>
      </c>
    </row>
    <row r="46" ht="22.5" customHeight="1">
      <c r="A46" s="8">
        <v>46288.75702585648</v>
      </c>
      <c r="B46" s="6">
        <v>45.0</v>
      </c>
      <c r="C46" s="10" t="s">
        <v>17</v>
      </c>
    </row>
    <row r="47" ht="22.5" customHeight="1">
      <c r="A47" s="5">
        <v>46288.75729275463</v>
      </c>
      <c r="B47" s="9">
        <v>46.0</v>
      </c>
      <c r="C47" s="7" t="s">
        <v>17</v>
      </c>
    </row>
    <row r="48" ht="22.5" customHeight="1">
      <c r="A48" s="8">
        <v>46288.75775237269</v>
      </c>
      <c r="B48" s="6">
        <v>47.0</v>
      </c>
      <c r="C48" s="10" t="s">
        <v>23</v>
      </c>
    </row>
    <row r="49" ht="22.5" customHeight="1">
      <c r="A49" s="5">
        <v>46288.75988291667</v>
      </c>
      <c r="B49" s="9">
        <v>48.0</v>
      </c>
      <c r="C49" s="7" t="s">
        <v>17</v>
      </c>
    </row>
    <row r="50" ht="22.5" customHeight="1">
      <c r="A50" s="8">
        <v>46288.761705578705</v>
      </c>
      <c r="B50" s="6">
        <v>49.0</v>
      </c>
      <c r="C50" s="10" t="s">
        <v>17</v>
      </c>
    </row>
    <row r="51" ht="22.5" customHeight="1">
      <c r="A51" s="5">
        <v>46288.769306331014</v>
      </c>
      <c r="B51" s="9">
        <v>50.0</v>
      </c>
      <c r="C51" s="7" t="s">
        <v>17</v>
      </c>
    </row>
    <row r="52" ht="22.5" customHeight="1">
      <c r="A52" s="8">
        <v>46288.77196246528</v>
      </c>
      <c r="B52" s="6">
        <v>51.0</v>
      </c>
      <c r="C52" s="10" t="s">
        <v>17</v>
      </c>
    </row>
    <row r="53" ht="22.5" customHeight="1">
      <c r="A53" s="5">
        <v>46288.77985717593</v>
      </c>
      <c r="B53" s="9">
        <v>52.0</v>
      </c>
      <c r="C53" s="7" t="s">
        <v>17</v>
      </c>
    </row>
    <row r="54" ht="22.5" customHeight="1">
      <c r="A54" s="8">
        <v>46288.7801021412</v>
      </c>
      <c r="B54" s="6">
        <v>53.0</v>
      </c>
      <c r="C54" s="10" t="s">
        <v>17</v>
      </c>
    </row>
    <row r="55" ht="22.5" customHeight="1">
      <c r="A55" s="16">
        <v>46288.83541460648</v>
      </c>
      <c r="B55" s="9">
        <v>54.0</v>
      </c>
      <c r="C55" s="7" t="s">
        <v>17</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4.75"/>
    <col customWidth="1" min="3" max="6" width="12.63"/>
  </cols>
  <sheetData>
    <row r="1" ht="15.75" customHeight="1">
      <c r="A1" s="1" t="s">
        <v>0</v>
      </c>
      <c r="C1" s="1" t="s">
        <v>1</v>
      </c>
      <c r="F1" s="1" t="s">
        <v>2</v>
      </c>
      <c r="G1" s="1" t="s">
        <v>3</v>
      </c>
      <c r="H1" s="1" t="s">
        <v>4</v>
      </c>
      <c r="I1" s="1" t="s">
        <v>5</v>
      </c>
    </row>
    <row r="2" ht="15.75" customHeight="1">
      <c r="A2" s="2" t="s">
        <v>6</v>
      </c>
      <c r="B2" s="1" t="s">
        <v>7</v>
      </c>
      <c r="C2" s="2" t="s">
        <v>6</v>
      </c>
      <c r="D2" s="1" t="s">
        <v>9</v>
      </c>
      <c r="F2" s="1" t="s">
        <v>10</v>
      </c>
      <c r="G2" s="1">
        <v>21.0</v>
      </c>
      <c r="H2" s="1">
        <v>53.0</v>
      </c>
      <c r="I2" s="1">
        <f>ROUND(H2/G2, 2)</f>
        <v>2.52</v>
      </c>
    </row>
    <row r="3" ht="15.75" customHeight="1">
      <c r="A3" s="2">
        <v>1.0</v>
      </c>
      <c r="B3" s="1">
        <v>4.0</v>
      </c>
      <c r="C3" s="2">
        <v>1.0</v>
      </c>
      <c r="D3" s="1">
        <v>4.0</v>
      </c>
      <c r="F3" s="1" t="s">
        <v>14</v>
      </c>
      <c r="G3" s="1">
        <v>8.0</v>
      </c>
      <c r="H3" s="1">
        <v>18.0</v>
      </c>
      <c r="I3" s="1">
        <f>H3/G3</f>
        <v>2.25</v>
      </c>
    </row>
    <row r="4" ht="15.75" customHeight="1">
      <c r="A4" s="2">
        <v>2.0</v>
      </c>
      <c r="B4" s="1">
        <v>2.0</v>
      </c>
      <c r="C4" s="2">
        <v>2.0</v>
      </c>
      <c r="D4" s="1">
        <v>4.0</v>
      </c>
    </row>
    <row r="5" ht="15.75" customHeight="1">
      <c r="A5" s="2">
        <v>3.0</v>
      </c>
      <c r="B5" s="1">
        <v>4.0</v>
      </c>
      <c r="C5" s="2">
        <v>3.0</v>
      </c>
      <c r="D5" s="1">
        <v>2.0</v>
      </c>
    </row>
    <row r="6" ht="15.75" customHeight="1">
      <c r="A6" s="2">
        <v>4.0</v>
      </c>
      <c r="B6" s="1">
        <v>3.0</v>
      </c>
      <c r="C6" s="2">
        <v>4.0</v>
      </c>
      <c r="D6" s="1">
        <v>2.0</v>
      </c>
    </row>
    <row r="7" ht="15.75" customHeight="1">
      <c r="A7" s="2">
        <v>5.0</v>
      </c>
      <c r="B7" s="1">
        <v>1.0</v>
      </c>
      <c r="C7" s="2">
        <v>5.0</v>
      </c>
      <c r="D7" s="1">
        <v>2.0</v>
      </c>
    </row>
    <row r="8" ht="15.75" customHeight="1">
      <c r="A8" s="2">
        <v>6.0</v>
      </c>
      <c r="B8" s="1">
        <v>4.0</v>
      </c>
      <c r="C8" s="2">
        <v>6.0</v>
      </c>
      <c r="D8" s="1">
        <v>2.0</v>
      </c>
    </row>
    <row r="9" ht="15.75" customHeight="1">
      <c r="A9" s="2">
        <v>7.0</v>
      </c>
      <c r="B9" s="1">
        <v>4.0</v>
      </c>
      <c r="C9" s="2">
        <v>7.0</v>
      </c>
      <c r="D9" s="1">
        <v>1.0</v>
      </c>
    </row>
    <row r="10" ht="15.75" customHeight="1">
      <c r="A10" s="2">
        <v>8.0</v>
      </c>
      <c r="B10" s="1">
        <v>4.0</v>
      </c>
      <c r="C10" s="2">
        <v>8.0</v>
      </c>
      <c r="D10" s="1">
        <v>1.0</v>
      </c>
    </row>
    <row r="11" ht="15.75" customHeight="1">
      <c r="A11" s="2">
        <v>9.0</v>
      </c>
      <c r="B11" s="1">
        <v>4.0</v>
      </c>
    </row>
    <row r="12" ht="15.75" customHeight="1">
      <c r="A12" s="2">
        <v>10.0</v>
      </c>
      <c r="B12" s="1">
        <v>1.0</v>
      </c>
    </row>
    <row r="13" ht="15.75" customHeight="1">
      <c r="A13" s="2">
        <v>11.0</v>
      </c>
      <c r="B13" s="1">
        <v>3.0</v>
      </c>
    </row>
    <row r="14" ht="15.75" customHeight="1">
      <c r="A14" s="2">
        <v>12.0</v>
      </c>
      <c r="B14" s="1">
        <v>3.0</v>
      </c>
    </row>
    <row r="15" ht="15.75" customHeight="1">
      <c r="A15" s="2">
        <v>13.0</v>
      </c>
      <c r="B15" s="1">
        <v>2.0</v>
      </c>
    </row>
    <row r="16" ht="15.75" customHeight="1">
      <c r="A16" s="2">
        <v>14.0</v>
      </c>
      <c r="B16" s="1">
        <v>2.0</v>
      </c>
    </row>
    <row r="17" ht="15.75" customHeight="1">
      <c r="A17" s="2">
        <v>15.0</v>
      </c>
      <c r="B17" s="1">
        <v>2.0</v>
      </c>
    </row>
    <row r="18" ht="15.75" customHeight="1">
      <c r="A18" s="2">
        <v>16.0</v>
      </c>
      <c r="B18" s="1">
        <v>2.0</v>
      </c>
    </row>
    <row r="19" ht="15.75" customHeight="1">
      <c r="A19" s="2">
        <v>17.0</v>
      </c>
      <c r="B19" s="1">
        <v>4.0</v>
      </c>
    </row>
    <row r="20" ht="15.75" customHeight="1">
      <c r="A20" s="2">
        <v>18.0</v>
      </c>
      <c r="B20" s="1">
        <v>1.0</v>
      </c>
    </row>
    <row r="21" ht="15.75" customHeight="1">
      <c r="A21" s="2">
        <v>19.0</v>
      </c>
      <c r="B21" s="1">
        <v>1.0</v>
      </c>
    </row>
    <row r="22" ht="15.75" customHeight="1">
      <c r="A22" s="2">
        <v>20.0</v>
      </c>
      <c r="B22" s="1">
        <v>1.0</v>
      </c>
    </row>
    <row r="23" ht="15.75" customHeight="1">
      <c r="A23" s="2">
        <v>21.0</v>
      </c>
      <c r="B23" s="1">
        <v>1.0</v>
      </c>
      <c r="F23" s="11"/>
      <c r="G23" s="11"/>
      <c r="H23" s="11"/>
      <c r="I23" s="11"/>
      <c r="J23" s="11"/>
      <c r="K23" s="11"/>
    </row>
    <row r="24" ht="15.75" customHeight="1">
      <c r="A24" s="2">
        <v>22.0</v>
      </c>
      <c r="B24" s="1">
        <f>SUM(B3:B23)</f>
        <v>53</v>
      </c>
      <c r="C24" s="1">
        <f>COUNTA(C3:C23)</f>
        <v>8</v>
      </c>
      <c r="D24" s="1">
        <f>SUM(D3:D23)</f>
        <v>18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